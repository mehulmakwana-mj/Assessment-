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ssignment\Module 3\Module_3_Assesment\"/>
    </mc:Choice>
  </mc:AlternateContent>
  <xr:revisionPtr revIDLastSave="0" documentId="13_ncr:1_{B89FCBEF-8875-4CBF-92F1-75384586A4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Theory" sheetId="6" r:id="rId2"/>
    <sheet name="Calculations" sheetId="2" r:id="rId3"/>
    <sheet name="Z_Test" sheetId="3" r:id="rId4"/>
    <sheet name="Chi_Squar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4" i="2"/>
  <c r="F10" i="4"/>
  <c r="B14" i="3"/>
  <c r="B6" i="2"/>
  <c r="B5" i="2"/>
  <c r="F8" i="4"/>
  <c r="D4" i="4"/>
  <c r="C4" i="4"/>
  <c r="B4" i="4"/>
  <c r="E3" i="4"/>
  <c r="E2" i="4"/>
  <c r="B12" i="3"/>
  <c r="B13" i="3" s="1"/>
  <c r="B11" i="3"/>
  <c r="B10" i="3"/>
  <c r="B9" i="3"/>
  <c r="B8" i="3"/>
  <c r="B3" i="2"/>
  <c r="B2" i="2"/>
  <c r="E4" i="4" l="1"/>
  <c r="B5" i="4" s="1"/>
  <c r="A8" i="4" s="1"/>
  <c r="B12" i="4" s="1"/>
  <c r="C9" i="4"/>
  <c r="B17" i="4" s="1"/>
  <c r="C8" i="4" l="1"/>
  <c r="B14" i="4" s="1"/>
  <c r="B9" i="4"/>
  <c r="B16" i="4" s="1"/>
  <c r="B8" i="4"/>
  <c r="B13" i="4" s="1"/>
  <c r="B16" i="3"/>
  <c r="A9" i="4"/>
  <c r="B15" i="4" s="1"/>
  <c r="F7" i="4" l="1"/>
  <c r="F11" i="4" l="1"/>
</calcChain>
</file>

<file path=xl/sharedStrings.xml><?xml version="1.0" encoding="utf-8"?>
<sst xmlns="http://schemas.openxmlformats.org/spreadsheetml/2006/main" count="58" uniqueCount="57">
  <si>
    <t>Day</t>
  </si>
  <si>
    <t>Company_A</t>
  </si>
  <si>
    <t>Company_B</t>
  </si>
  <si>
    <t>Statistic</t>
  </si>
  <si>
    <t>Mean_Company_A</t>
  </si>
  <si>
    <t>Mean_Company_B</t>
  </si>
  <si>
    <t>Covariance_A_B (Population)</t>
  </si>
  <si>
    <t>StdDev_A (Population)</t>
  </si>
  <si>
    <t>StdDev_B (Population)</t>
  </si>
  <si>
    <t>Pearson_Correlation (r)</t>
  </si>
  <si>
    <t>Group1_Scores</t>
  </si>
  <si>
    <t>Group2_Scores</t>
  </si>
  <si>
    <t>Population_SD (assumed)</t>
  </si>
  <si>
    <t>Mean_Group1</t>
  </si>
  <si>
    <t>Mean_Group2</t>
  </si>
  <si>
    <t>n1</t>
  </si>
  <si>
    <t>n2</t>
  </si>
  <si>
    <t>SE</t>
  </si>
  <si>
    <t>Z_score</t>
  </si>
  <si>
    <t>Two-tailed_p-value</t>
  </si>
  <si>
    <t>Alpha</t>
  </si>
  <si>
    <t>Reject_H0? (p &lt; alpha)</t>
  </si>
  <si>
    <t>Gender / Flavor</t>
  </si>
  <si>
    <t>Chocolate</t>
  </si>
  <si>
    <t>Vanilla</t>
  </si>
  <si>
    <t>Strawberry</t>
  </si>
  <si>
    <t>Row Total</t>
  </si>
  <si>
    <t>Expected</t>
  </si>
  <si>
    <t>Chi_Component</t>
  </si>
  <si>
    <t>Male</t>
  </si>
  <si>
    <t>Female</t>
  </si>
  <si>
    <t>Col Total</t>
  </si>
  <si>
    <t>Grand Total</t>
  </si>
  <si>
    <t>Chi_Square_Sum</t>
  </si>
  <si>
    <t>df</t>
  </si>
  <si>
    <t>Chi_Critical (alpha=0.05)</t>
  </si>
  <si>
    <t>Reject_H0?</t>
  </si>
  <si>
    <t>Interpretation</t>
  </si>
  <si>
    <t>Covariance = 92.65 → strong positive movement together</t>
  </si>
  <si>
    <t>Formula</t>
  </si>
  <si>
    <t>When A increases, B also increases consistently</t>
  </si>
  <si>
    <t>Correlation = 0.99 → almost perfect positive linear relationship</t>
  </si>
  <si>
    <t>Correlation vs Covariance</t>
  </si>
  <si>
    <t>Correlation</t>
  </si>
  <si>
    <t>Covariance</t>
  </si>
  <si>
    <t>Null and Alternative Hypothesis</t>
  </si>
  <si>
    <t>P- value and Significance level</t>
  </si>
  <si>
    <t>Null Hypothesis</t>
  </si>
  <si>
    <t>Alternative Hypothesis</t>
  </si>
  <si>
    <t>P-value</t>
  </si>
  <si>
    <t>Significance level (α )</t>
  </si>
  <si>
    <t>Comp_Male_Choc</t>
  </si>
  <si>
    <t>Comp_Male_Van</t>
  </si>
  <si>
    <t>Comp_Male_Str</t>
  </si>
  <si>
    <t>Comp_Fem_Choc</t>
  </si>
  <si>
    <t>Comp_Fem_Van</t>
  </si>
  <si>
    <t>Comp_Fem_Str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</si>
</sst>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000000000000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3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/>
    <xf numFmtId="0" fontId="0" fillId="0" borderId="1" xfId="0" applyBorder="1"/>
    <xf numFmtId="0" fontId="1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2" fontId="2" fillId="7" borderId="1" xfId="0" applyNumberFormat="1" applyFont="1" applyFill="1" applyBorder="1"/>
    <xf numFmtId="0" fontId="2" fillId="7" borderId="1" xfId="0" applyFont="1" applyFill="1" applyBorder="1"/>
    <xf numFmtId="164" fontId="2" fillId="3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1" fontId="2" fillId="3" borderId="1" xfId="0" applyNumberFormat="1" applyFont="1" applyFill="1" applyBorder="1"/>
    <xf numFmtId="165" fontId="0" fillId="0" borderId="0" xfId="0" applyNumberFormat="1"/>
    <xf numFmtId="166" fontId="2" fillId="7" borderId="1" xfId="0" applyNumberFormat="1" applyFont="1" applyFill="1" applyBorder="1"/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6C7DCCD-27A1-4679-A7A6-AC3D95C71C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Company A vs Company B (Scatter)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Data!$B$2:$B$21</c:f>
              <c:numCache>
                <c:formatCode>General</c:formatCode>
                <c:ptCount val="20"/>
                <c:pt idx="0">
                  <c:v>45</c:v>
                </c:pt>
                <c:pt idx="1">
                  <c:v>47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53</c:v>
                </c:pt>
                <c:pt idx="6">
                  <c:v>55</c:v>
                </c:pt>
                <c:pt idx="7">
                  <c:v>56</c:v>
                </c:pt>
                <c:pt idx="8">
                  <c:v>58</c:v>
                </c:pt>
                <c:pt idx="9">
                  <c:v>60</c:v>
                </c:pt>
                <c:pt idx="10">
                  <c:v>62</c:v>
                </c:pt>
                <c:pt idx="11">
                  <c:v>64</c:v>
                </c:pt>
                <c:pt idx="12">
                  <c:v>65</c:v>
                </c:pt>
                <c:pt idx="13">
                  <c:v>67</c:v>
                </c:pt>
                <c:pt idx="14">
                  <c:v>69</c:v>
                </c:pt>
                <c:pt idx="15">
                  <c:v>70</c:v>
                </c:pt>
                <c:pt idx="16">
                  <c:v>72</c:v>
                </c:pt>
                <c:pt idx="17">
                  <c:v>74</c:v>
                </c:pt>
                <c:pt idx="18">
                  <c:v>76</c:v>
                </c:pt>
                <c:pt idx="19">
                  <c:v>77</c:v>
                </c:pt>
              </c:numCache>
            </c:numRef>
          </c:xVal>
          <c:yVal>
            <c:numRef>
              <c:f>Data!$C$2:$C$21</c:f>
              <c:numCache>
                <c:formatCode>General</c:formatCode>
                <c:ptCount val="20"/>
                <c:pt idx="0">
                  <c:v>52</c:v>
                </c:pt>
                <c:pt idx="1">
                  <c:v>54</c:v>
                </c:pt>
                <c:pt idx="2">
                  <c:v>55</c:v>
                </c:pt>
                <c:pt idx="3">
                  <c:v>57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64</c:v>
                </c:pt>
                <c:pt idx="9">
                  <c:v>66</c:v>
                </c:pt>
                <c:pt idx="10">
                  <c:v>67</c:v>
                </c:pt>
                <c:pt idx="11">
                  <c:v>69</c:v>
                </c:pt>
                <c:pt idx="12">
                  <c:v>71</c:v>
                </c:pt>
                <c:pt idx="13">
                  <c:v>73</c:v>
                </c:pt>
                <c:pt idx="14">
                  <c:v>74</c:v>
                </c:pt>
                <c:pt idx="15">
                  <c:v>76</c:v>
                </c:pt>
                <c:pt idx="16">
                  <c:v>78</c:v>
                </c:pt>
                <c:pt idx="17">
                  <c:v>80</c:v>
                </c:pt>
                <c:pt idx="18">
                  <c:v>82</c:v>
                </c:pt>
                <c:pt idx="1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D-498D-A043-02CD3D748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Company 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Company 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1531620</xdr:colOff>
      <xdr:row>3</xdr:row>
      <xdr:rowOff>76200</xdr:rowOff>
    </xdr:from>
    <xdr:to>
      <xdr:col>7</xdr:col>
      <xdr:colOff>373380</xdr:colOff>
      <xdr:row>12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15DB7B-C751-4EF2-4CA9-5B52065A659B}"/>
            </a:ext>
          </a:extLst>
        </xdr:cNvPr>
        <xdr:cNvSpPr txBox="1"/>
      </xdr:nvSpPr>
      <xdr:spPr>
        <a:xfrm>
          <a:off x="3916680" y="716280"/>
          <a:ext cx="4305300" cy="157734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Measures how two variables move </a:t>
          </a:r>
          <a:r>
            <a:rPr lang="en-IN" sz="1400" b="1"/>
            <a:t>together</a:t>
          </a:r>
          <a:r>
            <a:rPr lang="en-IN" sz="1400"/>
            <a:t>.</a:t>
          </a:r>
        </a:p>
        <a:p>
          <a:r>
            <a:rPr lang="en-IN" sz="1400"/>
            <a:t>Positive covariance → both increase together</a:t>
          </a:r>
        </a:p>
        <a:p>
          <a:r>
            <a:rPr lang="en-IN" sz="1400"/>
            <a:t>Negative covariance → one increases while the other decreases</a:t>
          </a:r>
        </a:p>
        <a:p>
          <a:r>
            <a:rPr lang="en-IN" sz="1400" b="1"/>
            <a:t>Scale-dependent</a:t>
          </a:r>
          <a:r>
            <a:rPr lang="en-IN" sz="1400"/>
            <a:t>, so value alone is hard to interpret.</a:t>
          </a:r>
        </a:p>
        <a:p>
          <a:endParaRPr lang="en-IN" sz="1200"/>
        </a:p>
      </xdr:txBody>
    </xdr:sp>
    <xdr:clientData/>
  </xdr:twoCellAnchor>
  <xdr:twoCellAnchor>
    <xdr:from>
      <xdr:col>0</xdr:col>
      <xdr:colOff>53340</xdr:colOff>
      <xdr:row>3</xdr:row>
      <xdr:rowOff>60960</xdr:rowOff>
    </xdr:from>
    <xdr:to>
      <xdr:col>2</xdr:col>
      <xdr:colOff>1188720</xdr:colOff>
      <xdr:row>11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B2939-52F7-411E-8A63-3E5257716622}"/>
            </a:ext>
          </a:extLst>
        </xdr:cNvPr>
        <xdr:cNvSpPr txBox="1"/>
      </xdr:nvSpPr>
      <xdr:spPr>
        <a:xfrm>
          <a:off x="53340" y="701040"/>
          <a:ext cx="3657600" cy="157734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Standardized form of covariance.</a:t>
          </a:r>
        </a:p>
        <a:p>
          <a:r>
            <a:rPr lang="en-IN" sz="1400"/>
            <a:t>Ranges from </a:t>
          </a:r>
          <a:r>
            <a:rPr lang="en-IN" sz="1400" b="1"/>
            <a:t>–1 to +1</a:t>
          </a:r>
          <a:r>
            <a:rPr lang="en-IN" sz="1400"/>
            <a:t>.</a:t>
          </a:r>
        </a:p>
        <a:p>
          <a:r>
            <a:rPr lang="en-IN" sz="1400"/>
            <a:t>+1 → perfect positive linear relationship</a:t>
          </a:r>
        </a:p>
        <a:p>
          <a:r>
            <a:rPr lang="en-IN" sz="1400"/>
            <a:t>–1 → perfect negative linear relationship</a:t>
          </a:r>
        </a:p>
        <a:p>
          <a:r>
            <a:rPr lang="en-IN" sz="1400"/>
            <a:t>0 → no linear relationship</a:t>
          </a:r>
        </a:p>
        <a:p>
          <a:r>
            <a:rPr lang="en-IN" sz="1400"/>
            <a:t>Easy to interpret because it is </a:t>
          </a:r>
          <a:r>
            <a:rPr lang="en-IN" sz="1400" b="1"/>
            <a:t>scale-free</a:t>
          </a:r>
          <a:endParaRPr lang="en-IN" sz="1400"/>
        </a:p>
        <a:p>
          <a:endParaRPr lang="en-IN" sz="1200"/>
        </a:p>
      </xdr:txBody>
    </xdr:sp>
    <xdr:clientData/>
  </xdr:twoCellAnchor>
  <xdr:twoCellAnchor>
    <xdr:from>
      <xdr:col>0</xdr:col>
      <xdr:colOff>45720</xdr:colOff>
      <xdr:row>16</xdr:row>
      <xdr:rowOff>60960</xdr:rowOff>
    </xdr:from>
    <xdr:to>
      <xdr:col>2</xdr:col>
      <xdr:colOff>1181100</xdr:colOff>
      <xdr:row>27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4E3124-27DF-4B38-AEC1-6E4987E675AE}"/>
            </a:ext>
          </a:extLst>
        </xdr:cNvPr>
        <xdr:cNvSpPr txBox="1"/>
      </xdr:nvSpPr>
      <xdr:spPr>
        <a:xfrm>
          <a:off x="45720" y="2758440"/>
          <a:ext cx="3520440" cy="20497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 </a:t>
          </a:r>
          <a:r>
            <a:rPr lang="en-IN" sz="1400" b="1"/>
            <a:t>Null Hypothesis</a:t>
          </a:r>
          <a:r>
            <a:rPr lang="en-IN" sz="1400"/>
            <a:t> states that </a:t>
          </a:r>
          <a:r>
            <a:rPr lang="en-IN" sz="1400" b="1"/>
            <a:t>there is no effect, no difference, or no relationship</a:t>
          </a:r>
          <a:r>
            <a:rPr lang="en-IN" sz="1400"/>
            <a:t> between variables.</a:t>
          </a:r>
          <a:br>
            <a:rPr lang="en-IN" sz="1400"/>
          </a:br>
          <a:r>
            <a:rPr lang="en-IN" sz="1400"/>
            <a:t>It is the default assumption in statistics.</a:t>
          </a:r>
        </a:p>
        <a:p>
          <a:endParaRPr lang="en-IN" sz="1400"/>
        </a:p>
        <a:p>
          <a:r>
            <a:rPr lang="en-IN" sz="1400" b="1"/>
            <a:t>Examples:</a:t>
          </a:r>
          <a:endParaRPr lang="en-IN" sz="1400"/>
        </a:p>
        <a:p>
          <a:r>
            <a:rPr lang="en-IN" sz="1400"/>
            <a:t>H₀: </a:t>
          </a:r>
          <a:r>
            <a:rPr lang="el-GR" sz="1400"/>
            <a:t>μ₁ = μ₂ (</a:t>
          </a:r>
          <a:r>
            <a:rPr lang="en-IN" sz="1400"/>
            <a:t>no difference between two group means)</a:t>
          </a:r>
        </a:p>
        <a:p>
          <a:r>
            <a:rPr lang="en-IN" sz="1400"/>
            <a:t>H₀: The new drug has </a:t>
          </a:r>
          <a:r>
            <a:rPr lang="en-IN" sz="1400" i="1"/>
            <a:t>no effect</a:t>
          </a:r>
          <a:r>
            <a:rPr lang="en-IN" sz="1400"/>
            <a:t>.</a:t>
          </a:r>
        </a:p>
        <a:p>
          <a:endParaRPr lang="en-IN" sz="1200"/>
        </a:p>
      </xdr:txBody>
    </xdr:sp>
    <xdr:clientData/>
  </xdr:twoCellAnchor>
  <xdr:twoCellAnchor>
    <xdr:from>
      <xdr:col>2</xdr:col>
      <xdr:colOff>1676400</xdr:colOff>
      <xdr:row>16</xdr:row>
      <xdr:rowOff>45720</xdr:rowOff>
    </xdr:from>
    <xdr:to>
      <xdr:col>6</xdr:col>
      <xdr:colOff>342900</xdr:colOff>
      <xdr:row>27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530E19-B185-44A3-88BF-025616239CEC}"/>
            </a:ext>
          </a:extLst>
        </xdr:cNvPr>
        <xdr:cNvSpPr txBox="1"/>
      </xdr:nvSpPr>
      <xdr:spPr>
        <a:xfrm>
          <a:off x="4061460" y="2743200"/>
          <a:ext cx="3520440" cy="20650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 </a:t>
          </a:r>
          <a:r>
            <a:rPr lang="en-IN" sz="1400" b="1"/>
            <a:t>Alternative Hypothesis</a:t>
          </a:r>
          <a:r>
            <a:rPr lang="en-IN" sz="1400"/>
            <a:t> states that </a:t>
          </a:r>
          <a:r>
            <a:rPr lang="en-IN" sz="1400" b="1"/>
            <a:t>there </a:t>
          </a:r>
          <a:r>
            <a:rPr lang="en-IN" sz="1400" b="1" i="1"/>
            <a:t>is</a:t>
          </a:r>
          <a:r>
            <a:rPr lang="en-IN" sz="1400" b="1"/>
            <a:t> an effect, a difference, or a relationship</a:t>
          </a:r>
          <a:r>
            <a:rPr lang="en-IN" sz="1400"/>
            <a:t>.</a:t>
          </a:r>
          <a:br>
            <a:rPr lang="en-IN" sz="1400"/>
          </a:br>
          <a:r>
            <a:rPr lang="en-IN" sz="1400"/>
            <a:t>This is what you try to find evidence for.</a:t>
          </a:r>
        </a:p>
        <a:p>
          <a:endParaRPr lang="en-IN" sz="1400"/>
        </a:p>
        <a:p>
          <a:r>
            <a:rPr lang="en-IN" sz="1400" b="1"/>
            <a:t>Examples:</a:t>
          </a:r>
          <a:endParaRPr lang="en-IN" sz="1400"/>
        </a:p>
        <a:p>
          <a:r>
            <a:rPr lang="en-IN" sz="1400"/>
            <a:t>H₁: </a:t>
          </a:r>
          <a:r>
            <a:rPr lang="el-GR" sz="1400"/>
            <a:t>μ₁ ≠ μ₂ (</a:t>
          </a:r>
          <a:r>
            <a:rPr lang="en-IN" sz="1400"/>
            <a:t>there is a difference between the two means)</a:t>
          </a:r>
        </a:p>
        <a:p>
          <a:r>
            <a:rPr lang="en-IN" sz="1400"/>
            <a:t>H₁: The new drug </a:t>
          </a:r>
          <a:r>
            <a:rPr lang="en-IN" sz="1400" i="1"/>
            <a:t>has an effect</a:t>
          </a:r>
          <a:endParaRPr lang="en-IN" sz="1400"/>
        </a:p>
        <a:p>
          <a:endParaRPr lang="en-IN" sz="1200"/>
        </a:p>
      </xdr:txBody>
    </xdr:sp>
    <xdr:clientData/>
  </xdr:twoCellAnchor>
  <xdr:twoCellAnchor>
    <xdr:from>
      <xdr:col>0</xdr:col>
      <xdr:colOff>53340</xdr:colOff>
      <xdr:row>32</xdr:row>
      <xdr:rowOff>68580</xdr:rowOff>
    </xdr:from>
    <xdr:to>
      <xdr:col>2</xdr:col>
      <xdr:colOff>1417320</xdr:colOff>
      <xdr:row>47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35A955-364C-4703-B262-534A05E0D19A}"/>
            </a:ext>
          </a:extLst>
        </xdr:cNvPr>
        <xdr:cNvSpPr txBox="1"/>
      </xdr:nvSpPr>
      <xdr:spPr>
        <a:xfrm>
          <a:off x="53340" y="5372100"/>
          <a:ext cx="3749040" cy="26898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 </a:t>
          </a:r>
          <a:r>
            <a:rPr lang="en-IN" sz="1400" b="1"/>
            <a:t>p-value</a:t>
          </a:r>
          <a:r>
            <a:rPr lang="en-IN" sz="1400"/>
            <a:t> is the probability of getting the observed result (or something more extreme) </a:t>
          </a:r>
          <a:r>
            <a:rPr lang="en-IN" sz="1400" b="1"/>
            <a:t>assuming that the null hypothesis (H₀) is true</a:t>
          </a:r>
          <a:r>
            <a:rPr lang="en-IN" sz="1400"/>
            <a:t>.</a:t>
          </a:r>
        </a:p>
        <a:p>
          <a:endParaRPr lang="en-IN" sz="1200"/>
        </a:p>
        <a:p>
          <a:r>
            <a:rPr lang="en-IN" sz="1400" b="1"/>
            <a:t>Low p-value</a:t>
          </a:r>
          <a:r>
            <a:rPr lang="en-IN" sz="1400"/>
            <a:t> → The result is unlikely under H₀ → evidence </a:t>
          </a:r>
          <a:r>
            <a:rPr lang="en-IN" sz="1400" i="1"/>
            <a:t>against</a:t>
          </a:r>
          <a:r>
            <a:rPr lang="en-IN" sz="1400"/>
            <a:t> H₀</a:t>
          </a:r>
        </a:p>
        <a:p>
          <a:r>
            <a:rPr lang="en-IN" sz="1400" b="1"/>
            <a:t>High p-value</a:t>
          </a:r>
          <a:r>
            <a:rPr lang="en-IN" sz="1400"/>
            <a:t> → The result is consistent with H₀ → </a:t>
          </a:r>
          <a:r>
            <a:rPr lang="en-IN" sz="1400" i="1"/>
            <a:t>no evidence</a:t>
          </a:r>
          <a:r>
            <a:rPr lang="en-IN" sz="1400"/>
            <a:t> to reject H₀</a:t>
          </a:r>
        </a:p>
        <a:p>
          <a:endParaRPr lang="en-IN" sz="1400"/>
        </a:p>
        <a:p>
          <a:r>
            <a:rPr lang="en-IN" sz="1400" b="1"/>
            <a:t>Example:</a:t>
          </a:r>
          <a:br>
            <a:rPr lang="en-IN" sz="1400"/>
          </a:br>
          <a:r>
            <a:rPr lang="en-IN" sz="1400"/>
            <a:t>p-value = 0.03 → There is a 3% chance of seeing such a result if H₀ is true.</a:t>
          </a:r>
        </a:p>
        <a:p>
          <a:endParaRPr lang="en-IN" sz="1400"/>
        </a:p>
        <a:p>
          <a:endParaRPr lang="en-IN" sz="1400"/>
        </a:p>
        <a:p>
          <a:endParaRPr lang="en-IN" sz="1200"/>
        </a:p>
      </xdr:txBody>
    </xdr:sp>
    <xdr:clientData/>
  </xdr:twoCellAnchor>
  <xdr:twoCellAnchor>
    <xdr:from>
      <xdr:col>3</xdr:col>
      <xdr:colOff>0</xdr:colOff>
      <xdr:row>32</xdr:row>
      <xdr:rowOff>68580</xdr:rowOff>
    </xdr:from>
    <xdr:to>
      <xdr:col>6</xdr:col>
      <xdr:colOff>579120</xdr:colOff>
      <xdr:row>47</xdr:row>
      <xdr:rowOff>15240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75663-3689-4AD4-9FA8-CD2EAC88D169}"/>
            </a:ext>
          </a:extLst>
        </xdr:cNvPr>
        <xdr:cNvSpPr txBox="1"/>
      </xdr:nvSpPr>
      <xdr:spPr>
        <a:xfrm>
          <a:off x="4069080" y="5372100"/>
          <a:ext cx="3749040" cy="26898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 </a:t>
          </a:r>
          <a:r>
            <a:rPr lang="en-IN" sz="1400" b="1"/>
            <a:t>significance level</a:t>
          </a:r>
          <a:r>
            <a:rPr lang="en-IN" sz="1400"/>
            <a:t> is a threshold that </a:t>
          </a:r>
          <a:r>
            <a:rPr lang="en-IN" sz="1400" b="1"/>
            <a:t>you set before the test</a:t>
          </a:r>
          <a:r>
            <a:rPr lang="en-IN" sz="1400"/>
            <a:t> to decide whether to reject H₀.</a:t>
          </a:r>
          <a:br>
            <a:rPr lang="en-IN" sz="1400"/>
          </a:br>
          <a:r>
            <a:rPr lang="en-IN" sz="1400"/>
            <a:t>Common values: </a:t>
          </a:r>
          <a:r>
            <a:rPr lang="en-IN" sz="1400" b="1"/>
            <a:t>0.05</a:t>
          </a:r>
          <a:r>
            <a:rPr lang="en-IN" sz="1400"/>
            <a:t>, </a:t>
          </a:r>
          <a:r>
            <a:rPr lang="en-IN" sz="1400" b="1"/>
            <a:t>0.01</a:t>
          </a:r>
          <a:r>
            <a:rPr lang="en-IN" sz="1400"/>
            <a:t>, </a:t>
          </a:r>
          <a:r>
            <a:rPr lang="en-IN" sz="1400" b="1"/>
            <a:t>0.10</a:t>
          </a:r>
          <a:r>
            <a:rPr lang="en-IN" sz="1400"/>
            <a:t>.</a:t>
          </a:r>
        </a:p>
        <a:p>
          <a:endParaRPr lang="en-IN" sz="1400"/>
        </a:p>
        <a:p>
          <a:r>
            <a:rPr lang="en-IN" sz="1400"/>
            <a:t>If </a:t>
          </a:r>
          <a:r>
            <a:rPr lang="en-IN" sz="1400" b="1"/>
            <a:t>p-value &lt; </a:t>
          </a:r>
          <a:r>
            <a:rPr lang="el-GR" sz="1400" b="1"/>
            <a:t>α</a:t>
          </a:r>
          <a:r>
            <a:rPr lang="el-GR" sz="1400"/>
            <a:t> → </a:t>
          </a:r>
          <a:r>
            <a:rPr lang="en-IN" sz="1400"/>
            <a:t>Reject H₀ (result is statistically significant)</a:t>
          </a:r>
        </a:p>
        <a:p>
          <a:r>
            <a:rPr lang="en-IN" sz="1400"/>
            <a:t>If </a:t>
          </a:r>
          <a:r>
            <a:rPr lang="en-IN" sz="1400" b="1"/>
            <a:t>p-value ≥ </a:t>
          </a:r>
          <a:r>
            <a:rPr lang="el-GR" sz="1400" b="1"/>
            <a:t>α</a:t>
          </a:r>
          <a:r>
            <a:rPr lang="el-GR" sz="1400"/>
            <a:t> → </a:t>
          </a:r>
          <a:r>
            <a:rPr lang="en-IN" sz="1400"/>
            <a:t>Fail to reject H₀</a:t>
          </a:r>
        </a:p>
        <a:p>
          <a:endParaRPr lang="en-IN" sz="1400"/>
        </a:p>
        <a:p>
          <a:r>
            <a:rPr lang="en-IN" sz="1400" b="1"/>
            <a:t>Example:</a:t>
          </a:r>
          <a:br>
            <a:rPr lang="en-IN" sz="1400"/>
          </a:br>
          <a:r>
            <a:rPr lang="en-IN" sz="1400"/>
            <a:t>If </a:t>
          </a:r>
          <a:r>
            <a:rPr lang="el-GR" sz="1400"/>
            <a:t>α = 0.05 </a:t>
          </a:r>
          <a:r>
            <a:rPr lang="en-IN" sz="1400"/>
            <a:t>and p-value = 0.03 → Reject H₀</a:t>
          </a:r>
        </a:p>
        <a:p>
          <a:endParaRPr lang="en-IN" sz="1400"/>
        </a:p>
        <a:p>
          <a:endParaRPr lang="en-IN" sz="1400"/>
        </a:p>
        <a:p>
          <a:endParaRPr lang="en-IN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76200</xdr:rowOff>
    </xdr:from>
    <xdr:to>
      <xdr:col>3</xdr:col>
      <xdr:colOff>1150620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180546-B3BA-321C-01D1-175C1F594D10}"/>
            </a:ext>
          </a:extLst>
        </xdr:cNvPr>
        <xdr:cNvSpPr txBox="1"/>
      </xdr:nvSpPr>
      <xdr:spPr>
        <a:xfrm>
          <a:off x="0" y="3002280"/>
          <a:ext cx="4076700" cy="838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Based on the t-test results and since the p-value is below the significance level 0.05, we reject the null hypothesis. This indicates a statistically significant difference between the mean scores of the two groups.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11</xdr:row>
      <xdr:rowOff>91440</xdr:rowOff>
    </xdr:from>
    <xdr:to>
      <xdr:col>9</xdr:col>
      <xdr:colOff>160020</xdr:colOff>
      <xdr:row>16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85ECD3-3B57-47B7-A687-35DC14897B7B}"/>
            </a:ext>
          </a:extLst>
        </xdr:cNvPr>
        <xdr:cNvSpPr txBox="1"/>
      </xdr:nvSpPr>
      <xdr:spPr>
        <a:xfrm>
          <a:off x="4572000" y="2103120"/>
          <a:ext cx="4076700" cy="838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Since</a:t>
          </a:r>
          <a:r>
            <a:rPr lang="en-IN" sz="1100" b="1" baseline="0"/>
            <a:t> the calculated chi-square value(4.021) is less than the critical value(5.991) at </a:t>
          </a:r>
          <a:r>
            <a:rPr lang="el-GR" sz="1100" b="1" baseline="0"/>
            <a:t>α</a:t>
          </a:r>
          <a:r>
            <a:rPr lang="en-US" sz="1100" b="1" baseline="0"/>
            <a:t> = 0.05</a:t>
          </a:r>
          <a:r>
            <a:rPr lang="en-IN" sz="1100" b="1" baseline="0"/>
            <a:t>, we do not reject the null hypothesis. This indicates that there is no statistically significant association between the variables.</a:t>
          </a:r>
          <a:endParaRPr lang="en-I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5" sqref="C25"/>
    </sheetView>
  </sheetViews>
  <sheetFormatPr defaultRowHeight="14.4" x14ac:dyDescent="0.3"/>
  <cols>
    <col min="1" max="3" width="14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10">
        <v>1</v>
      </c>
      <c r="B2" s="10">
        <v>45</v>
      </c>
      <c r="C2" s="10">
        <v>52</v>
      </c>
    </row>
    <row r="3" spans="1:3" x14ac:dyDescent="0.3">
      <c r="A3" s="10">
        <v>2</v>
      </c>
      <c r="B3" s="10">
        <v>47</v>
      </c>
      <c r="C3" s="10">
        <v>54</v>
      </c>
    </row>
    <row r="4" spans="1:3" x14ac:dyDescent="0.3">
      <c r="A4" s="10">
        <v>3</v>
      </c>
      <c r="B4" s="10">
        <v>48</v>
      </c>
      <c r="C4" s="10">
        <v>55</v>
      </c>
    </row>
    <row r="5" spans="1:3" x14ac:dyDescent="0.3">
      <c r="A5" s="10">
        <v>4</v>
      </c>
      <c r="B5" s="10">
        <v>50</v>
      </c>
      <c r="C5" s="10">
        <v>57</v>
      </c>
    </row>
    <row r="6" spans="1:3" x14ac:dyDescent="0.3">
      <c r="A6" s="10">
        <v>5</v>
      </c>
      <c r="B6" s="10">
        <v>52</v>
      </c>
      <c r="C6" s="10">
        <v>59</v>
      </c>
    </row>
    <row r="7" spans="1:3" x14ac:dyDescent="0.3">
      <c r="A7" s="10">
        <v>6</v>
      </c>
      <c r="B7" s="10">
        <v>53</v>
      </c>
      <c r="C7" s="10">
        <v>60</v>
      </c>
    </row>
    <row r="8" spans="1:3" x14ac:dyDescent="0.3">
      <c r="A8" s="10">
        <v>7</v>
      </c>
      <c r="B8" s="10">
        <v>55</v>
      </c>
      <c r="C8" s="10">
        <v>61</v>
      </c>
    </row>
    <row r="9" spans="1:3" x14ac:dyDescent="0.3">
      <c r="A9" s="10">
        <v>8</v>
      </c>
      <c r="B9" s="10">
        <v>56</v>
      </c>
      <c r="C9" s="10">
        <v>62</v>
      </c>
    </row>
    <row r="10" spans="1:3" x14ac:dyDescent="0.3">
      <c r="A10" s="10">
        <v>9</v>
      </c>
      <c r="B10" s="10">
        <v>58</v>
      </c>
      <c r="C10" s="10">
        <v>64</v>
      </c>
    </row>
    <row r="11" spans="1:3" x14ac:dyDescent="0.3">
      <c r="A11" s="10">
        <v>10</v>
      </c>
      <c r="B11" s="10">
        <v>60</v>
      </c>
      <c r="C11" s="10">
        <v>66</v>
      </c>
    </row>
    <row r="12" spans="1:3" x14ac:dyDescent="0.3">
      <c r="A12" s="10">
        <v>11</v>
      </c>
      <c r="B12" s="10">
        <v>62</v>
      </c>
      <c r="C12" s="10">
        <v>67</v>
      </c>
    </row>
    <row r="13" spans="1:3" x14ac:dyDescent="0.3">
      <c r="A13" s="10">
        <v>12</v>
      </c>
      <c r="B13" s="10">
        <v>64</v>
      </c>
      <c r="C13" s="10">
        <v>69</v>
      </c>
    </row>
    <row r="14" spans="1:3" x14ac:dyDescent="0.3">
      <c r="A14" s="10">
        <v>13</v>
      </c>
      <c r="B14" s="10">
        <v>65</v>
      </c>
      <c r="C14" s="10">
        <v>71</v>
      </c>
    </row>
    <row r="15" spans="1:3" x14ac:dyDescent="0.3">
      <c r="A15" s="10">
        <v>14</v>
      </c>
      <c r="B15" s="10">
        <v>67</v>
      </c>
      <c r="C15" s="10">
        <v>73</v>
      </c>
    </row>
    <row r="16" spans="1:3" x14ac:dyDescent="0.3">
      <c r="A16" s="10">
        <v>15</v>
      </c>
      <c r="B16" s="10">
        <v>69</v>
      </c>
      <c r="C16" s="10">
        <v>74</v>
      </c>
    </row>
    <row r="17" spans="1:3" x14ac:dyDescent="0.3">
      <c r="A17" s="10">
        <v>16</v>
      </c>
      <c r="B17" s="10">
        <v>70</v>
      </c>
      <c r="C17" s="10">
        <v>76</v>
      </c>
    </row>
    <row r="18" spans="1:3" x14ac:dyDescent="0.3">
      <c r="A18" s="10">
        <v>17</v>
      </c>
      <c r="B18" s="10">
        <v>72</v>
      </c>
      <c r="C18" s="10">
        <v>78</v>
      </c>
    </row>
    <row r="19" spans="1:3" x14ac:dyDescent="0.3">
      <c r="A19" s="10">
        <v>18</v>
      </c>
      <c r="B19" s="10">
        <v>74</v>
      </c>
      <c r="C19" s="10">
        <v>80</v>
      </c>
    </row>
    <row r="20" spans="1:3" x14ac:dyDescent="0.3">
      <c r="A20" s="10">
        <v>19</v>
      </c>
      <c r="B20" s="10">
        <v>76</v>
      </c>
      <c r="C20" s="10">
        <v>82</v>
      </c>
    </row>
    <row r="21" spans="1:3" x14ac:dyDescent="0.3">
      <c r="A21" s="10">
        <v>20</v>
      </c>
      <c r="B21" s="10">
        <v>77</v>
      </c>
      <c r="C21" s="10">
        <v>83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CC2A-1D7C-416A-8B90-6A205B96F02D}">
  <dimension ref="A1:D32"/>
  <sheetViews>
    <sheetView topLeftCell="A28" workbookViewId="0">
      <selection activeCell="J38" sqref="J38"/>
    </sheetView>
  </sheetViews>
  <sheetFormatPr defaultRowHeight="14.4" x14ac:dyDescent="0.3"/>
  <cols>
    <col min="1" max="1" width="25.88671875" customWidth="1"/>
    <col min="3" max="3" width="24.5546875" customWidth="1"/>
    <col min="4" max="4" width="25.77734375" bestFit="1" customWidth="1"/>
    <col min="5" max="5" width="14.44140625" customWidth="1"/>
    <col min="8" max="8" width="5.88671875" customWidth="1"/>
    <col min="9" max="9" width="4.88671875" customWidth="1"/>
  </cols>
  <sheetData>
    <row r="1" spans="1:4" ht="18" x14ac:dyDescent="0.35">
      <c r="A1" s="21" t="s">
        <v>42</v>
      </c>
      <c r="B1" s="22"/>
      <c r="C1" s="22"/>
    </row>
    <row r="3" spans="1:4" ht="18" x14ac:dyDescent="0.35">
      <c r="A3" s="17" t="s">
        <v>43</v>
      </c>
      <c r="D3" s="17" t="s">
        <v>44</v>
      </c>
    </row>
    <row r="14" spans="1:4" ht="18" x14ac:dyDescent="0.35">
      <c r="A14" s="21" t="s">
        <v>45</v>
      </c>
      <c r="B14" s="22"/>
      <c r="C14" s="22"/>
    </row>
    <row r="16" spans="1:4" ht="18" x14ac:dyDescent="0.35">
      <c r="A16" s="17" t="s">
        <v>47</v>
      </c>
      <c r="D16" s="17" t="s">
        <v>48</v>
      </c>
    </row>
    <row r="30" spans="1:4" ht="18" x14ac:dyDescent="0.35">
      <c r="A30" s="21" t="s">
        <v>46</v>
      </c>
      <c r="B30" s="22"/>
      <c r="C30" s="22"/>
    </row>
    <row r="32" spans="1:4" ht="18" x14ac:dyDescent="0.35">
      <c r="A32" s="17" t="s">
        <v>49</v>
      </c>
      <c r="D32" s="17" t="s">
        <v>50</v>
      </c>
    </row>
  </sheetData>
  <mergeCells count="3">
    <mergeCell ref="A1:C1"/>
    <mergeCell ref="A14:C14"/>
    <mergeCell ref="A30:C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1" sqref="C11"/>
    </sheetView>
  </sheetViews>
  <sheetFormatPr defaultRowHeight="14.4" x14ac:dyDescent="0.3"/>
  <cols>
    <col min="1" max="1" width="54.5546875" bestFit="1" customWidth="1"/>
    <col min="2" max="2" width="36" customWidth="1"/>
    <col min="3" max="3" width="16" customWidth="1"/>
  </cols>
  <sheetData>
    <row r="1" spans="1:3" x14ac:dyDescent="0.3">
      <c r="A1" s="6" t="s">
        <v>3</v>
      </c>
      <c r="B1" s="6" t="s">
        <v>39</v>
      </c>
      <c r="C1" s="1"/>
    </row>
    <row r="2" spans="1:3" x14ac:dyDescent="0.3">
      <c r="A2" s="4" t="s">
        <v>4</v>
      </c>
      <c r="B2" s="3">
        <f>AVERAGE(Data!B2:B21)</f>
        <v>61</v>
      </c>
      <c r="C2" s="2"/>
    </row>
    <row r="3" spans="1:3" x14ac:dyDescent="0.3">
      <c r="A3" s="4" t="s">
        <v>5</v>
      </c>
      <c r="B3" s="3">
        <f>AVERAGE(Data!C2:C21)</f>
        <v>67.150000000000006</v>
      </c>
      <c r="C3" s="2"/>
    </row>
    <row r="4" spans="1:3" x14ac:dyDescent="0.3">
      <c r="A4" s="4" t="s">
        <v>6</v>
      </c>
      <c r="B4" s="3">
        <f>_xlfn.COVARIANCE.P(Data!B2:B21,Data!C2:C21)</f>
        <v>92.65</v>
      </c>
      <c r="C4" s="2"/>
    </row>
    <row r="5" spans="1:3" x14ac:dyDescent="0.3">
      <c r="A5" s="4" t="s">
        <v>7</v>
      </c>
      <c r="B5" s="16">
        <f>_xlfn.STDEV.P(Data!B2:B21)</f>
        <v>9.8386991009990741</v>
      </c>
      <c r="C5" s="2"/>
    </row>
    <row r="6" spans="1:3" x14ac:dyDescent="0.3">
      <c r="A6" s="4" t="s">
        <v>8</v>
      </c>
      <c r="B6" s="16">
        <f>_xlfn.STDEV.P(Data!C2:C21)</f>
        <v>9.4301378568926548</v>
      </c>
      <c r="C6" s="2"/>
    </row>
    <row r="7" spans="1:3" x14ac:dyDescent="0.3">
      <c r="A7" s="4" t="s">
        <v>9</v>
      </c>
      <c r="B7" s="16">
        <f>CORREL(Data!B2:B21,Data!C2:C21)</f>
        <v>0.99859572699637911</v>
      </c>
      <c r="C7" s="2"/>
    </row>
    <row r="9" spans="1:3" ht="18" x14ac:dyDescent="0.3">
      <c r="A9" s="7" t="s">
        <v>37</v>
      </c>
    </row>
    <row r="10" spans="1:3" x14ac:dyDescent="0.3">
      <c r="A10" s="8"/>
    </row>
    <row r="11" spans="1:3" x14ac:dyDescent="0.3">
      <c r="A11" s="8" t="s">
        <v>38</v>
      </c>
    </row>
    <row r="12" spans="1:3" x14ac:dyDescent="0.3">
      <c r="A12" s="8"/>
    </row>
    <row r="13" spans="1:3" x14ac:dyDescent="0.3">
      <c r="A13" s="8" t="s">
        <v>41</v>
      </c>
    </row>
    <row r="14" spans="1:3" x14ac:dyDescent="0.3">
      <c r="A14" s="9"/>
    </row>
    <row r="15" spans="1:3" x14ac:dyDescent="0.3">
      <c r="A15" s="9" t="s">
        <v>40</v>
      </c>
    </row>
    <row r="16" spans="1:3" x14ac:dyDescent="0.3">
      <c r="A16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F11" sqref="F11"/>
    </sheetView>
  </sheetViews>
  <sheetFormatPr defaultRowHeight="14.4" x14ac:dyDescent="0.3"/>
  <cols>
    <col min="1" max="1" width="20" bestFit="1" customWidth="1"/>
    <col min="2" max="2" width="13.77734375" bestFit="1" customWidth="1"/>
    <col min="4" max="4" width="23" bestFit="1" customWidth="1"/>
    <col min="6" max="6" width="20.77734375" bestFit="1" customWidth="1"/>
  </cols>
  <sheetData>
    <row r="1" spans="1:6" x14ac:dyDescent="0.3">
      <c r="A1" s="5" t="s">
        <v>10</v>
      </c>
      <c r="B1" s="5" t="s">
        <v>11</v>
      </c>
      <c r="D1" s="5" t="s">
        <v>12</v>
      </c>
    </row>
    <row r="2" spans="1:6" x14ac:dyDescent="0.3">
      <c r="A2" s="10">
        <v>85</v>
      </c>
      <c r="B2" s="10">
        <v>78</v>
      </c>
      <c r="D2" s="10">
        <v>5</v>
      </c>
    </row>
    <row r="3" spans="1:6" x14ac:dyDescent="0.3">
      <c r="A3" s="10">
        <v>88</v>
      </c>
      <c r="B3" s="10">
        <v>80</v>
      </c>
    </row>
    <row r="4" spans="1:6" x14ac:dyDescent="0.3">
      <c r="A4" s="10">
        <v>92</v>
      </c>
      <c r="B4" s="10">
        <v>75</v>
      </c>
    </row>
    <row r="5" spans="1:6" x14ac:dyDescent="0.3">
      <c r="A5" s="10">
        <v>87</v>
      </c>
      <c r="B5" s="10">
        <v>82</v>
      </c>
    </row>
    <row r="6" spans="1:6" x14ac:dyDescent="0.3">
      <c r="A6" s="10">
        <v>90</v>
      </c>
      <c r="B6" s="10">
        <v>76</v>
      </c>
    </row>
    <row r="8" spans="1:6" x14ac:dyDescent="0.3">
      <c r="A8" s="13" t="s">
        <v>13</v>
      </c>
      <c r="B8" s="14">
        <f>AVERAGE(A2:A6)</f>
        <v>88.4</v>
      </c>
      <c r="F8" s="19"/>
    </row>
    <row r="9" spans="1:6" x14ac:dyDescent="0.3">
      <c r="A9" s="13" t="s">
        <v>14</v>
      </c>
      <c r="B9" s="14">
        <f>AVERAGE(B2:B6)</f>
        <v>78.2</v>
      </c>
    </row>
    <row r="10" spans="1:6" x14ac:dyDescent="0.3">
      <c r="A10" s="13" t="s">
        <v>15</v>
      </c>
      <c r="B10" s="15">
        <f>COUNT(A2:A6)</f>
        <v>5</v>
      </c>
    </row>
    <row r="11" spans="1:6" x14ac:dyDescent="0.3">
      <c r="A11" s="13" t="s">
        <v>16</v>
      </c>
      <c r="B11" s="15">
        <f>COUNT(B2:B6)</f>
        <v>5</v>
      </c>
    </row>
    <row r="12" spans="1:6" x14ac:dyDescent="0.3">
      <c r="A12" s="13" t="s">
        <v>17</v>
      </c>
      <c r="B12" s="14">
        <f>SQRT(($D$2^2)/B10 + ($D$2^2)/B11)</f>
        <v>3.1622776601683795</v>
      </c>
    </row>
    <row r="13" spans="1:6" x14ac:dyDescent="0.3">
      <c r="A13" s="13" t="s">
        <v>18</v>
      </c>
      <c r="B13" s="14">
        <f>(B8-B9)/B12</f>
        <v>3.2255232133717477</v>
      </c>
    </row>
    <row r="14" spans="1:6" x14ac:dyDescent="0.3">
      <c r="A14" s="13" t="s">
        <v>19</v>
      </c>
      <c r="B14" s="20">
        <f>2*(1-_xlfn.NORM.S.DIST(ABS(B13),TRUE))</f>
        <v>1.257426382596627E-3</v>
      </c>
    </row>
    <row r="15" spans="1:6" x14ac:dyDescent="0.3">
      <c r="A15" s="13" t="s">
        <v>20</v>
      </c>
      <c r="B15" s="15">
        <v>0.05</v>
      </c>
    </row>
    <row r="16" spans="1:6" x14ac:dyDescent="0.3">
      <c r="A16" s="13" t="s">
        <v>21</v>
      </c>
      <c r="B16" s="15" t="str">
        <f>IF(B14&lt;B15,"Yes","No")</f>
        <v>Yes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E20" sqref="E20"/>
    </sheetView>
  </sheetViews>
  <sheetFormatPr defaultRowHeight="14.4" x14ac:dyDescent="0.3"/>
  <cols>
    <col min="1" max="1" width="16.109375" bestFit="1" customWidth="1"/>
    <col min="2" max="2" width="14.77734375" bestFit="1" customWidth="1"/>
    <col min="3" max="3" width="21.6640625" bestFit="1" customWidth="1"/>
    <col min="4" max="4" width="14" customWidth="1"/>
    <col min="5" max="5" width="21.6640625" bestFit="1" customWidth="1"/>
    <col min="11" max="11" width="21" bestFit="1" customWidth="1"/>
  </cols>
  <sheetData>
    <row r="1" spans="1:6" x14ac:dyDescent="0.3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6" x14ac:dyDescent="0.3">
      <c r="A2" s="10" t="s">
        <v>29</v>
      </c>
      <c r="B2" s="10">
        <v>20</v>
      </c>
      <c r="C2" s="10">
        <v>15</v>
      </c>
      <c r="D2" s="10">
        <v>10</v>
      </c>
      <c r="E2" s="10">
        <f>SUM(B2:D2)</f>
        <v>45</v>
      </c>
    </row>
    <row r="3" spans="1:6" x14ac:dyDescent="0.3">
      <c r="A3" s="10" t="s">
        <v>30</v>
      </c>
      <c r="B3" s="10">
        <v>25</v>
      </c>
      <c r="C3" s="10">
        <v>20</v>
      </c>
      <c r="D3" s="10">
        <v>30</v>
      </c>
      <c r="E3" s="10">
        <f>SUM(B3:D3)</f>
        <v>75</v>
      </c>
    </row>
    <row r="4" spans="1:6" x14ac:dyDescent="0.3">
      <c r="A4" s="10" t="s">
        <v>31</v>
      </c>
      <c r="B4" s="10">
        <f>SUM(B2:B3)</f>
        <v>45</v>
      </c>
      <c r="C4" s="10">
        <f>SUM(C2:C3)</f>
        <v>35</v>
      </c>
      <c r="D4" s="10">
        <f>SUM(D2:D3)</f>
        <v>40</v>
      </c>
      <c r="E4" s="10">
        <f>SUM(E2:E3)</f>
        <v>120</v>
      </c>
    </row>
    <row r="5" spans="1:6" x14ac:dyDescent="0.3">
      <c r="A5" s="10" t="s">
        <v>32</v>
      </c>
      <c r="B5" s="10">
        <f>E4</f>
        <v>120</v>
      </c>
      <c r="C5" s="10"/>
      <c r="D5" s="10"/>
      <c r="E5" s="10"/>
    </row>
    <row r="7" spans="1:6" x14ac:dyDescent="0.3">
      <c r="A7" s="11" t="s">
        <v>27</v>
      </c>
      <c r="B7" s="12"/>
      <c r="C7" s="12"/>
      <c r="E7" s="11" t="s">
        <v>33</v>
      </c>
      <c r="F7" s="16">
        <f>SUM(B12:B17)</f>
        <v>4.0211640211640214</v>
      </c>
    </row>
    <row r="8" spans="1:6" x14ac:dyDescent="0.3">
      <c r="A8" s="16">
        <f>($E2*$B$4)/$B$5</f>
        <v>16.875</v>
      </c>
      <c r="B8" s="16">
        <f>($E2*$C$4)/$B$5</f>
        <v>13.125</v>
      </c>
      <c r="C8" s="16">
        <f>($E2*$D$4)/$B$5</f>
        <v>15</v>
      </c>
      <c r="E8" s="11" t="s">
        <v>34</v>
      </c>
      <c r="F8" s="18">
        <f>(2-1)*(3-1)</f>
        <v>2</v>
      </c>
    </row>
    <row r="9" spans="1:6" x14ac:dyDescent="0.3">
      <c r="A9" s="16">
        <f>($E3*$B$4)/$B$5</f>
        <v>28.125</v>
      </c>
      <c r="B9" s="16">
        <f>($E3*$C$4)/$B$5</f>
        <v>21.875</v>
      </c>
      <c r="C9" s="16">
        <f>($E3*$D$4)/$B$5</f>
        <v>25</v>
      </c>
      <c r="E9" s="11" t="s">
        <v>20</v>
      </c>
      <c r="F9" s="16">
        <v>0.05</v>
      </c>
    </row>
    <row r="10" spans="1:6" x14ac:dyDescent="0.3">
      <c r="E10" s="11" t="s">
        <v>35</v>
      </c>
      <c r="F10" s="16">
        <f>_xlfn.CHISQ.INV.RT(F9,F8)</f>
        <v>5.9914645471079817</v>
      </c>
    </row>
    <row r="11" spans="1:6" x14ac:dyDescent="0.3">
      <c r="B11" s="11" t="s">
        <v>28</v>
      </c>
      <c r="E11" s="11" t="s">
        <v>36</v>
      </c>
      <c r="F11" s="16" t="str">
        <f>IF(F7&gt;F10,"Yes","No")</f>
        <v>No</v>
      </c>
    </row>
    <row r="12" spans="1:6" x14ac:dyDescent="0.3">
      <c r="A12" s="12" t="s">
        <v>51</v>
      </c>
      <c r="B12" s="16">
        <f>(B2-A8)^2/A8</f>
        <v>0.57870370370370372</v>
      </c>
    </row>
    <row r="13" spans="1:6" x14ac:dyDescent="0.3">
      <c r="A13" s="12" t="s">
        <v>52</v>
      </c>
      <c r="B13" s="16">
        <f>(C2-B8)^2/B8</f>
        <v>0.26785714285714285</v>
      </c>
    </row>
    <row r="14" spans="1:6" x14ac:dyDescent="0.3">
      <c r="A14" s="12" t="s">
        <v>53</v>
      </c>
      <c r="B14" s="16">
        <f>(D2-C8)^2/C8</f>
        <v>1.6666666666666667</v>
      </c>
    </row>
    <row r="15" spans="1:6" x14ac:dyDescent="0.3">
      <c r="A15" s="12" t="s">
        <v>54</v>
      </c>
      <c r="B15" s="16">
        <f>(B3-A9)^2/A9</f>
        <v>0.34722222222222221</v>
      </c>
    </row>
    <row r="16" spans="1:6" x14ac:dyDescent="0.3">
      <c r="A16" s="12" t="s">
        <v>55</v>
      </c>
      <c r="B16" s="16">
        <f>(C3-B9)^2/B9</f>
        <v>0.16071428571428573</v>
      </c>
    </row>
    <row r="17" spans="1:2" x14ac:dyDescent="0.3">
      <c r="A17" s="12" t="s">
        <v>56</v>
      </c>
      <c r="B17" s="16">
        <f>(D3-C9)^2/C9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Theory</vt:lpstr>
      <vt:lpstr>Calculations</vt:lpstr>
      <vt:lpstr>Z_Test</vt:lpstr>
      <vt:lpstr>Chi_Square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J</cp:lastModifiedBy>
  <dcterms:created xsi:type="dcterms:W3CDTF">2025-11-18T17:41:24Z</dcterms:created>
  <dcterms:modified xsi:type="dcterms:W3CDTF">2025-11-20T13:06:50Z</dcterms:modified>
</cp:coreProperties>
</file>